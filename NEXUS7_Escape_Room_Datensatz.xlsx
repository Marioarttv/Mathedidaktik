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hdaten" sheetId="1" state="visible" r:id="rId3"/>
    <sheet name="Deskriptive_Statistik" sheetId="2" state="visible" r:id="rId4"/>
    <sheet name="Kodierungslegen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<sst xmlns="http://schemas.openxmlformats.org/spreadsheetml/2006/main" count="222" uniqueCount="197">
  <si>
    <t xml:space="preserve">ID</t>
  </si>
  <si>
    <t xml:space="preserve">Code</t>
  </si>
  <si>
    <t xml:space="preserve">Alter</t>
  </si>
  <si>
    <t xml:space="preserve">Geschlecht</t>
  </si>
  <si>
    <t xml:space="preserve">Klasse</t>
  </si>
  <si>
    <t xml:space="preserve">Gruppe</t>
  </si>
  <si>
    <t xml:space="preserve">Pre_Programmierkenntnisse</t>
  </si>
  <si>
    <t xml:space="preserve">Pre_Arduino_Erfahrung</t>
  </si>
  <si>
    <t xml:space="preserve">Pre_EscapeRoom_Erfahrung</t>
  </si>
  <si>
    <t xml:space="preserve">Pre_Q8_Elektronik</t>
  </si>
  <si>
    <t xml:space="preserve">Pre_Q9_Interaktiv</t>
  </si>
  <si>
    <t xml:space="preserve">Pre_Q10_Arduino_lernen</t>
  </si>
  <si>
    <t xml:space="preserve">Pre_Q11_Freizeit</t>
  </si>
  <si>
    <t xml:space="preserve">Pre_Q12_Technik_fuer_mich</t>
  </si>
  <si>
    <t xml:space="preserve">Pre_Q13_Zutrauen</t>
  </si>
  <si>
    <t xml:space="preserve">Pre_Q14_Lernen_koennte</t>
  </si>
  <si>
    <t xml:space="preserve">Pre_Q15_Probleme_loesen</t>
  </si>
  <si>
    <t xml:space="preserve">Pre_Q16_Ueberfordert</t>
  </si>
  <si>
    <t xml:space="preserve">Pre_Erw_Spass</t>
  </si>
  <si>
    <t xml:space="preserve">Pre_Erw_Teamwork</t>
  </si>
  <si>
    <t xml:space="preserve">Pre_Erw_Technik</t>
  </si>
  <si>
    <t xml:space="preserve">Pre_Erw_Raetsel</t>
  </si>
  <si>
    <t xml:space="preserve">Pre_Erw_Story</t>
  </si>
  <si>
    <t xml:space="preserve">Pre_Erw_Arduino</t>
  </si>
  <si>
    <t xml:space="preserve">Pre_Motivation</t>
  </si>
  <si>
    <t xml:space="preserve">Post_Gesamt</t>
  </si>
  <si>
    <t xml:space="preserve">Post_Story</t>
  </si>
  <si>
    <t xml:space="preserve">Post_Raetsel</t>
  </si>
  <si>
    <t xml:space="preserve">Post_Arduino</t>
  </si>
  <si>
    <t xml:space="preserve">Post_Website</t>
  </si>
  <si>
    <t xml:space="preserve">Post_Teamwork</t>
  </si>
  <si>
    <t xml:space="preserve">Post_Geschafft</t>
  </si>
  <si>
    <t xml:space="preserve">Post_Q7_Elektronik</t>
  </si>
  <si>
    <t xml:space="preserve">Post_Q8_Interaktiv</t>
  </si>
  <si>
    <t xml:space="preserve">Post_Q9_Arduino_lernen</t>
  </si>
  <si>
    <t xml:space="preserve">Post_Q10_Freizeit</t>
  </si>
  <si>
    <t xml:space="preserve">Post_Q11_Technik_fuer_mich</t>
  </si>
  <si>
    <t xml:space="preserve">Post_Q12_Zutrauen</t>
  </si>
  <si>
    <t xml:space="preserve">Post_Q13_Lernen_koennte</t>
  </si>
  <si>
    <t xml:space="preserve">Post_Q14_Probleme_loesen</t>
  </si>
  <si>
    <t xml:space="preserve">Post_Q15_Ueberfordert</t>
  </si>
  <si>
    <t xml:space="preserve">Post_Interesse_Veraenderung</t>
  </si>
  <si>
    <t xml:space="preserve">Post_Arduino_gezeigt</t>
  </si>
  <si>
    <t xml:space="preserve">Post_Zukunft_Arduino</t>
  </si>
  <si>
    <t xml:space="preserve">Post_Q20_Physical_Computing</t>
  </si>
  <si>
    <t xml:space="preserve">Post_Q21_Motiviert</t>
  </si>
  <si>
    <t xml:space="preserve">Post_Q22_Story_Technik</t>
  </si>
  <si>
    <t xml:space="preserve">Post_Q23_Mehr_Hintergrund</t>
  </si>
  <si>
    <t xml:space="preserve">Post_Empfehlung</t>
  </si>
  <si>
    <t xml:space="preserve">Freitext_Bestes_Raetsel</t>
  </si>
  <si>
    <t xml:space="preserve">Freitext_Schlechtestes</t>
  </si>
  <si>
    <t xml:space="preserve">Freitext_Verbesserung</t>
  </si>
  <si>
    <t xml:space="preserve">Freitext_Bauen_wollen</t>
  </si>
  <si>
    <t xml:space="preserve">MA15ST</t>
  </si>
  <si>
    <t xml:space="preserve">Männlich</t>
  </si>
  <si>
    <t xml:space="preserve">9A</t>
  </si>
  <si>
    <t xml:space="preserve">Die Kabel-Station war richtig cool!</t>
  </si>
  <si>
    <t xml:space="preserve">Morse Code war etwas schwer</t>
  </si>
  <si>
    <t xml:space="preserve">Mehr Zeit geben</t>
  </si>
  <si>
    <t xml:space="preserve">Ein Spiel mit LEDs</t>
  </si>
  <si>
    <t xml:space="preserve">AN22HE</t>
  </si>
  <si>
    <t xml:space="preserve">Weiblich</t>
  </si>
  <si>
    <t xml:space="preserve">Das Simon Says Spiel mit den LEDs</t>
  </si>
  <si>
    <t xml:space="preserve">Manchmal haben die Sensoren nicht reagiert</t>
  </si>
  <si>
    <t xml:space="preserve">Mehr Hinweise bei schweren Rätseln</t>
  </si>
  <si>
    <t xml:space="preserve">Einen Roboter</t>
  </si>
  <si>
    <t xml:space="preserve">LI08BE</t>
  </si>
  <si>
    <t xml:space="preserve">Mir hat das RFID-Rätsel am besten gefallen</t>
  </si>
  <si>
    <t xml:space="preserve">Die Hinweise waren manchmal unklar</t>
  </si>
  <si>
    <t xml:space="preserve">Erklärungen zur Technik nach dem Spiel</t>
  </si>
  <si>
    <t xml:space="preserve">Eine Alarmanlage</t>
  </si>
  <si>
    <t xml:space="preserve">SA30FR</t>
  </si>
  <si>
    <t xml:space="preserve">Die Geschichte war spannend</t>
  </si>
  <si>
    <t xml:space="preserve">Mehr Zeit wäre gut gewesen</t>
  </si>
  <si>
    <t xml:space="preserve">Vielleicht ein Punktesystem</t>
  </si>
  <si>
    <t xml:space="preserve">Automatische Pflanzenbewaesserung</t>
  </si>
  <si>
    <t xml:space="preserve">EL12MU</t>
  </si>
  <si>
    <t xml:space="preserve">9B</t>
  </si>
  <si>
    <t xml:space="preserve">Teamwork war super</t>
  </si>
  <si>
    <t xml:space="preserve">Das Lichträtsel war verwirrend</t>
  </si>
  <si>
    <t xml:space="preserve">Sound-Effekte wären cool</t>
  </si>
  <si>
    <t xml:space="preserve">Ein eigenes Escape Room Rätsel</t>
  </si>
  <si>
    <t xml:space="preserve">TO07ES</t>
  </si>
  <si>
    <t xml:space="preserve">Der Morse Code war interessant</t>
  </si>
  <si>
    <t xml:space="preserve">Nichts, alles war gut</t>
  </si>
  <si>
    <t xml:space="preserve">Ein bisschen leichtere Rätsel am Anfang</t>
  </si>
  <si>
    <t xml:space="preserve">Eine Wetterstation</t>
  </si>
  <si>
    <t xml:space="preserve">JU19ST</t>
  </si>
  <si>
    <t xml:space="preserve">Divers</t>
  </si>
  <si>
    <t xml:space="preserve">Die Box mit dem Hand-Scanner</t>
  </si>
  <si>
    <t xml:space="preserve">Die Kabel waren etwas fummelig</t>
  </si>
  <si>
    <t xml:space="preserve">Mehr Arduino-Erklärungen</t>
  </si>
  <si>
    <t xml:space="preserve">Noch nicht sicher</t>
  </si>
  <si>
    <t xml:space="preserve">NI25LU</t>
  </si>
  <si>
    <t xml:space="preserve">Das Temperatur-Rätsel mit dem Föhn</t>
  </si>
  <si>
    <t xml:space="preserve">Der PIR-Sensor war empfindlich</t>
  </si>
  <si>
    <t xml:space="preserve">Eine Auflösung am Ende</t>
  </si>
  <si>
    <t xml:space="preserve">Irgendwas mit Sensoren</t>
  </si>
  <si>
    <t xml:space="preserve">SO18MA</t>
  </si>
  <si>
    <t xml:space="preserve">10A</t>
  </si>
  <si>
    <t xml:space="preserve">Die ganze Technik war beeindruckend</t>
  </si>
  <si>
    <t xml:space="preserve">Wir brauchten lange beim Morse Code</t>
  </si>
  <si>
    <t xml:space="preserve">Alles war gut so</t>
  </si>
  <si>
    <t xml:space="preserve">Ein Smart-Home-System</t>
  </si>
  <si>
    <t xml:space="preserve">LE04KA</t>
  </si>
  <si>
    <t xml:space="preserve">Alle Rätsel waren gut miteinander verbunden</t>
  </si>
  <si>
    <t xml:space="preserve">Die RFID-Karten waren schwer zu finden</t>
  </si>
  <si>
    <t xml:space="preserve">Bessere Beleuchtung</t>
  </si>
  <si>
    <t xml:space="preserve">Eine Lichtsteuerung</t>
  </si>
  <si>
    <t xml:space="preserve">MI27NU</t>
  </si>
  <si>
    <t xml:space="preserve">Das Lichträtsel mit der Bibel-Referenz war witzig</t>
  </si>
  <si>
    <t xml:space="preserve">Mehr Erklärungen zur Technik wären gut</t>
  </si>
  <si>
    <t xml:space="preserve">Klarere Anweisungen</t>
  </si>
  <si>
    <t xml:space="preserve">Weiss noch nicht</t>
  </si>
  <si>
    <t xml:space="preserve">FE11RE</t>
  </si>
  <si>
    <t xml:space="preserve">Die Website sah professionell aus</t>
  </si>
  <si>
    <t xml:space="preserve">Das Temperatur-Rätsel dauerte lang</t>
  </si>
  <si>
    <t xml:space="preserve">Mehr Teamaufgaben</t>
  </si>
  <si>
    <t xml:space="preserve">Ein Auto das Hindernissen ausweicht</t>
  </si>
  <si>
    <t xml:space="preserve">CH09BA</t>
  </si>
  <si>
    <t xml:space="preserve">10B</t>
  </si>
  <si>
    <t xml:space="preserve">Es war cool, echte Hardware zu benutzen</t>
  </si>
  <si>
    <t xml:space="preserve">Die Bibel-Referenz war schwer zu verstehen</t>
  </si>
  <si>
    <t xml:space="preserve">Ein Tutorial am Anfang</t>
  </si>
  <si>
    <t xml:space="preserve">Sowas wie Simon Says</t>
  </si>
  <si>
    <t xml:space="preserve">DA21HO</t>
  </si>
  <si>
    <t xml:space="preserve">Die Kombination aus physisch und digital</t>
  </si>
  <si>
    <t xml:space="preserve">Nichts Besonderes</t>
  </si>
  <si>
    <t xml:space="preserve">Schwierigkeitsgrade wählbar machen</t>
  </si>
  <si>
    <t xml:space="preserve">Eine Türklingel mit Kamera</t>
  </si>
  <si>
    <t xml:space="preserve">LA13WI</t>
  </si>
  <si>
    <t xml:space="preserve">Der Zeitdruck hat Spaß gemacht</t>
  </si>
  <si>
    <t xml:space="preserve">Der Schwierigkeitsgrad war manchmal ungleich</t>
  </si>
  <si>
    <t xml:space="preserve">Nichts, war perfekt</t>
  </si>
  <si>
    <t xml:space="preserve">Bin noch am Überlegen</t>
  </si>
  <si>
    <t xml:space="preserve">PA06BO</t>
  </si>
  <si>
    <t xml:space="preserve">Das Keypad-Rätsel am Ende</t>
  </si>
  <si>
    <t xml:space="preserve">Manchmal wussten wir nicht weiter</t>
  </si>
  <si>
    <t xml:space="preserve">Vielleicht noch mehr Stationen</t>
  </si>
  <si>
    <t xml:space="preserve">Was mit Musik und LEDs</t>
  </si>
  <si>
    <t xml:space="preserve">Variable</t>
  </si>
  <si>
    <t xml:space="preserve">Pre_M</t>
  </si>
  <si>
    <t xml:space="preserve">Pre_SD</t>
  </si>
  <si>
    <t xml:space="preserve">Post_M</t>
  </si>
  <si>
    <t xml:space="preserve">Post_SD</t>
  </si>
  <si>
    <t xml:space="preserve">Differenz_M</t>
  </si>
  <si>
    <t xml:space="preserve">Interesse_Elektronik</t>
  </si>
  <si>
    <t xml:space="preserve">Interesse_Interaktiv</t>
  </si>
  <si>
    <t xml:space="preserve">Interesse_Arduino_lernen</t>
  </si>
  <si>
    <t xml:space="preserve">Interesse_Freizeit</t>
  </si>
  <si>
    <t xml:space="preserve">Technik_fuer_mich</t>
  </si>
  <si>
    <t xml:space="preserve">Selbstwirksamkeit</t>
  </si>
  <si>
    <t xml:space="preserve">Zutrauen_Arduino</t>
  </si>
  <si>
    <t xml:space="preserve">Lernen_koennte</t>
  </si>
  <si>
    <t xml:space="preserve">Probleme_loesen</t>
  </si>
  <si>
    <t xml:space="preserve">Ueberfordert_inv</t>
  </si>
  <si>
    <t xml:space="preserve">Programmierkenntnisse</t>
  </si>
  <si>
    <t xml:space="preserve">1=Keine</t>
  </si>
  <si>
    <t xml:space="preserve">2=Anfänger</t>
  </si>
  <si>
    <t xml:space="preserve">3=Grundkenntnisse</t>
  </si>
  <si>
    <t xml:space="preserve">4=Fortgeschritten</t>
  </si>
  <si>
    <t xml:space="preserve">5=Experte</t>
  </si>
  <si>
    <t xml:space="preserve">Arduino_Erfahrung</t>
  </si>
  <si>
    <t xml:space="preserve">1=Nein, noch nie</t>
  </si>
  <si>
    <t xml:space="preserve">2=Gehört aber nie genutzt</t>
  </si>
  <si>
    <t xml:space="preserve">3=Einmal in Workshop</t>
  </si>
  <si>
    <t xml:space="preserve">4=Mehrfach</t>
  </si>
  <si>
    <t xml:space="preserve">EscapeRoom_Erfahrung</t>
  </si>
  <si>
    <t xml:space="preserve">1=Erster</t>
  </si>
  <si>
    <t xml:space="preserve">2=1-2 gespielt</t>
  </si>
  <si>
    <t xml:space="preserve">3=3-5 gespielt</t>
  </si>
  <si>
    <t xml:space="preserve">4=Mehr als 5</t>
  </si>
  <si>
    <t xml:space="preserve">Likert-Skala (Q8-Q15, Q20-Q23)</t>
  </si>
  <si>
    <t xml:space="preserve">1=Stimme überhaupt nicht zu</t>
  </si>
  <si>
    <t xml:space="preserve">2=...</t>
  </si>
  <si>
    <t xml:space="preserve">3=...</t>
  </si>
  <si>
    <t xml:space="preserve">4=...</t>
  </si>
  <si>
    <t xml:space="preserve">5=Stimme voll zu</t>
  </si>
  <si>
    <t xml:space="preserve">Geschafft</t>
  </si>
  <si>
    <t xml:space="preserve">1=Vollständig gelöst</t>
  </si>
  <si>
    <t xml:space="preserve">2=Teilweise gelöst</t>
  </si>
  <si>
    <t xml:space="preserve">3=Nichts gelöst</t>
  </si>
  <si>
    <t xml:space="preserve">Interesse_Veraenderung</t>
  </si>
  <si>
    <t xml:space="preserve">1=Deutlich gesunken</t>
  </si>
  <si>
    <t xml:space="preserve">2=Etwas gesunken</t>
  </si>
  <si>
    <t xml:space="preserve">3=Gleich</t>
  </si>
  <si>
    <t xml:space="preserve">4=Etwas gestiegen</t>
  </si>
  <si>
    <t xml:space="preserve">5=Deutlich gestiegen</t>
  </si>
  <si>
    <t xml:space="preserve">Motivation/Empfehlung</t>
  </si>
  <si>
    <t xml:space="preserve">1=Gar nicht</t>
  </si>
  <si>
    <t xml:space="preserve">2=Eher nicht</t>
  </si>
  <si>
    <t xml:space="preserve">3=Neutral/Vielleicht</t>
  </si>
  <si>
    <t xml:space="preserve">4=Eher ja</t>
  </si>
  <si>
    <t xml:space="preserve">5=Sehr/Definitiv</t>
  </si>
  <si>
    <t xml:space="preserve">Erwartungen (0/1)</t>
  </si>
  <si>
    <t xml:space="preserve">0=Nicht angekreuzt</t>
  </si>
  <si>
    <t xml:space="preserve">1=Angekreuzt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</si>
</sst>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3" min="1" style="0" width="15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customFormat="false" ht="15" hidden="false" customHeight="false" outlineLevel="0" collapsed="false">
      <c r="A2" s="0" t="n">
        <v>1</v>
      </c>
      <c r="B2" s="0" t="s">
        <v>53</v>
      </c>
      <c r="C2" s="0" t="n">
        <v>14</v>
      </c>
      <c r="D2" s="0" t="s">
        <v>54</v>
      </c>
      <c r="E2" s="0" t="n">
        <v>9</v>
      </c>
      <c r="F2" s="0" t="s">
        <v>55</v>
      </c>
      <c r="G2" s="0" t="n">
        <v>3</v>
      </c>
      <c r="H2" s="0" t="n">
        <v>2</v>
      </c>
      <c r="I2" s="0" t="n">
        <v>3</v>
      </c>
      <c r="J2" s="0" t="n">
        <v>4</v>
      </c>
      <c r="K2" s="0" t="n">
        <v>3</v>
      </c>
      <c r="L2" s="0" t="n">
        <v>3</v>
      </c>
      <c r="M2" s="0" t="n">
        <v>3</v>
      </c>
      <c r="N2" s="0" t="n">
        <v>5</v>
      </c>
      <c r="O2" s="0" t="n">
        <v>3</v>
      </c>
      <c r="P2" s="0" t="n">
        <v>4</v>
      </c>
      <c r="Q2" s="0" t="n">
        <v>5</v>
      </c>
      <c r="R2" s="0" t="n">
        <v>2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4</v>
      </c>
      <c r="Z2" s="0" t="n">
        <v>5</v>
      </c>
      <c r="AA2" s="0" t="n">
        <v>3</v>
      </c>
      <c r="AB2" s="0" t="n">
        <v>5</v>
      </c>
      <c r="AC2" s="0" t="n">
        <v>3</v>
      </c>
      <c r="AD2" s="0" t="n">
        <v>4</v>
      </c>
      <c r="AE2" s="0" t="n">
        <v>4</v>
      </c>
      <c r="AF2" s="0" t="n">
        <v>1</v>
      </c>
      <c r="AG2" s="0" t="n">
        <v>4</v>
      </c>
      <c r="AH2" s="0" t="n">
        <v>4</v>
      </c>
      <c r="AI2" s="0" t="n">
        <v>4</v>
      </c>
      <c r="AJ2" s="0" t="n">
        <v>2</v>
      </c>
      <c r="AK2" s="0" t="n">
        <v>5</v>
      </c>
      <c r="AL2" s="0" t="n">
        <v>4</v>
      </c>
      <c r="AM2" s="0" t="n">
        <v>5</v>
      </c>
      <c r="AN2" s="0" t="n">
        <v>5</v>
      </c>
      <c r="AO2" s="0" t="n">
        <v>2</v>
      </c>
      <c r="AP2" s="0" t="n">
        <v>5</v>
      </c>
      <c r="AQ2" s="0" t="n">
        <v>5</v>
      </c>
      <c r="AR2" s="0" t="n">
        <v>4</v>
      </c>
      <c r="AS2" s="0" t="n">
        <v>3</v>
      </c>
      <c r="AT2" s="0" t="n">
        <v>5</v>
      </c>
      <c r="AU2" s="0" t="n">
        <v>4</v>
      </c>
      <c r="AV2" s="0" t="n">
        <v>4</v>
      </c>
      <c r="AW2" s="0" t="n">
        <v>5</v>
      </c>
      <c r="AX2" s="0" t="s">
        <v>56</v>
      </c>
      <c r="AY2" s="0" t="s">
        <v>57</v>
      </c>
      <c r="AZ2" s="0" t="s">
        <v>58</v>
      </c>
      <c r="BA2" s="0" t="s">
        <v>59</v>
      </c>
    </row>
    <row r="3" customFormat="false" ht="15" hidden="false" customHeight="false" outlineLevel="0" collapsed="false">
      <c r="A3" s="0" t="n">
        <v>2</v>
      </c>
      <c r="B3" s="0" t="s">
        <v>60</v>
      </c>
      <c r="C3" s="0" t="n">
        <v>15</v>
      </c>
      <c r="D3" s="0" t="s">
        <v>61</v>
      </c>
      <c r="E3" s="0" t="n">
        <v>9</v>
      </c>
      <c r="F3" s="0" t="s">
        <v>55</v>
      </c>
      <c r="G3" s="0" t="n">
        <v>1</v>
      </c>
      <c r="H3" s="0" t="n">
        <v>1</v>
      </c>
      <c r="I3" s="0" t="n">
        <v>2</v>
      </c>
      <c r="J3" s="0" t="n">
        <v>2</v>
      </c>
      <c r="K3" s="0" t="n">
        <v>3</v>
      </c>
      <c r="L3" s="0" t="n">
        <v>4</v>
      </c>
      <c r="M3" s="0" t="n">
        <v>3</v>
      </c>
      <c r="N3" s="0" t="n">
        <v>2</v>
      </c>
      <c r="O3" s="0" t="n">
        <v>2</v>
      </c>
      <c r="P3" s="0" t="n">
        <v>5</v>
      </c>
      <c r="Q3" s="0" t="n">
        <v>3</v>
      </c>
      <c r="R3" s="0" t="n">
        <v>3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4</v>
      </c>
      <c r="Z3" s="0" t="n">
        <v>4</v>
      </c>
      <c r="AA3" s="0" t="n">
        <v>4</v>
      </c>
      <c r="AB3" s="0" t="n">
        <v>3</v>
      </c>
      <c r="AC3" s="0" t="n">
        <v>3</v>
      </c>
      <c r="AD3" s="0" t="n">
        <v>4</v>
      </c>
      <c r="AE3" s="0" t="n">
        <v>5</v>
      </c>
      <c r="AF3" s="0" t="n">
        <v>1</v>
      </c>
      <c r="AG3" s="0" t="n">
        <v>3</v>
      </c>
      <c r="AH3" s="0" t="n">
        <v>3</v>
      </c>
      <c r="AI3" s="0" t="n">
        <v>5</v>
      </c>
      <c r="AJ3" s="0" t="n">
        <v>2</v>
      </c>
      <c r="AK3" s="0" t="n">
        <v>1</v>
      </c>
      <c r="AL3" s="0" t="n">
        <v>2</v>
      </c>
      <c r="AM3" s="0" t="n">
        <v>5</v>
      </c>
      <c r="AN3" s="0" t="n">
        <v>4</v>
      </c>
      <c r="AO3" s="0" t="n">
        <v>2</v>
      </c>
      <c r="AP3" s="0" t="n">
        <v>3</v>
      </c>
      <c r="AQ3" s="0" t="n">
        <v>5</v>
      </c>
      <c r="AR3" s="0" t="n">
        <v>4</v>
      </c>
      <c r="AS3" s="0" t="n">
        <v>3</v>
      </c>
      <c r="AT3" s="0" t="n">
        <v>5</v>
      </c>
      <c r="AU3" s="0" t="n">
        <v>5</v>
      </c>
      <c r="AV3" s="0" t="n">
        <v>4</v>
      </c>
      <c r="AW3" s="0" t="n">
        <v>5</v>
      </c>
      <c r="AX3" s="0" t="s">
        <v>62</v>
      </c>
      <c r="AY3" s="0" t="s">
        <v>63</v>
      </c>
      <c r="AZ3" s="0" t="s">
        <v>64</v>
      </c>
      <c r="BA3" s="0" t="s">
        <v>65</v>
      </c>
    </row>
    <row r="4" customFormat="false" ht="15" hidden="false" customHeight="false" outlineLevel="0" collapsed="false">
      <c r="A4" s="0" t="n">
        <v>3</v>
      </c>
      <c r="B4" s="0" t="s">
        <v>66</v>
      </c>
      <c r="C4" s="0" t="n">
        <v>14</v>
      </c>
      <c r="D4" s="0" t="s">
        <v>54</v>
      </c>
      <c r="E4" s="0" t="n">
        <v>9</v>
      </c>
      <c r="F4" s="0" t="s">
        <v>55</v>
      </c>
      <c r="G4" s="0" t="n">
        <v>1</v>
      </c>
      <c r="H4" s="0" t="n">
        <v>1</v>
      </c>
      <c r="I4" s="0" t="n">
        <v>2</v>
      </c>
      <c r="J4" s="0" t="n">
        <v>2</v>
      </c>
      <c r="K4" s="0" t="n">
        <v>3</v>
      </c>
      <c r="L4" s="0" t="n">
        <v>2</v>
      </c>
      <c r="M4" s="0" t="n">
        <v>1</v>
      </c>
      <c r="N4" s="0" t="n">
        <v>3</v>
      </c>
      <c r="O4" s="0" t="n">
        <v>2</v>
      </c>
      <c r="P4" s="0" t="n">
        <v>4</v>
      </c>
      <c r="Q4" s="0" t="n">
        <v>2</v>
      </c>
      <c r="R4" s="0" t="n">
        <v>4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  <c r="X4" s="0" t="n">
        <v>0</v>
      </c>
      <c r="Y4" s="0" t="n">
        <v>2</v>
      </c>
      <c r="Z4" s="0" t="n">
        <v>4</v>
      </c>
      <c r="AA4" s="0" t="n">
        <v>3</v>
      </c>
      <c r="AB4" s="0" t="n">
        <v>3</v>
      </c>
      <c r="AC4" s="0" t="n">
        <v>5</v>
      </c>
      <c r="AD4" s="0" t="n">
        <v>4</v>
      </c>
      <c r="AE4" s="0" t="n">
        <v>5</v>
      </c>
      <c r="AF4" s="0" t="n">
        <v>1</v>
      </c>
      <c r="AG4" s="0" t="n">
        <v>2</v>
      </c>
      <c r="AH4" s="0" t="n">
        <v>4</v>
      </c>
      <c r="AI4" s="0" t="n">
        <v>3</v>
      </c>
      <c r="AJ4" s="0" t="n">
        <v>2</v>
      </c>
      <c r="AK4" s="0" t="n">
        <v>3</v>
      </c>
      <c r="AL4" s="0" t="n">
        <v>2</v>
      </c>
      <c r="AM4" s="0" t="n">
        <v>5</v>
      </c>
      <c r="AN4" s="0" t="n">
        <v>2</v>
      </c>
      <c r="AO4" s="0" t="n">
        <v>4</v>
      </c>
      <c r="AP4" s="0" t="n">
        <v>3</v>
      </c>
      <c r="AQ4" s="0" t="n">
        <v>4</v>
      </c>
      <c r="AR4" s="0" t="n">
        <v>3</v>
      </c>
      <c r="AS4" s="0" t="n">
        <v>4</v>
      </c>
      <c r="AT4" s="0" t="n">
        <v>3</v>
      </c>
      <c r="AU4" s="0" t="n">
        <v>5</v>
      </c>
      <c r="AV4" s="0" t="n">
        <v>2</v>
      </c>
      <c r="AW4" s="0" t="n">
        <v>4</v>
      </c>
      <c r="AX4" s="0" t="s">
        <v>67</v>
      </c>
      <c r="AY4" s="0" t="s">
        <v>68</v>
      </c>
      <c r="AZ4" s="0" t="s">
        <v>69</v>
      </c>
      <c r="BA4" s="0" t="s">
        <v>70</v>
      </c>
    </row>
    <row r="5" customFormat="false" ht="15" hidden="false" customHeight="false" outlineLevel="0" collapsed="false">
      <c r="A5" s="0" t="n">
        <v>4</v>
      </c>
      <c r="B5" s="0" t="s">
        <v>71</v>
      </c>
      <c r="C5" s="0" t="n">
        <v>15</v>
      </c>
      <c r="D5" s="0" t="s">
        <v>61</v>
      </c>
      <c r="E5" s="0" t="n">
        <v>9</v>
      </c>
      <c r="F5" s="0" t="s">
        <v>55</v>
      </c>
      <c r="G5" s="0" t="n">
        <v>1</v>
      </c>
      <c r="H5" s="0" t="n">
        <v>1</v>
      </c>
      <c r="I5" s="0" t="n">
        <v>2</v>
      </c>
      <c r="J5" s="0" t="n">
        <v>2</v>
      </c>
      <c r="K5" s="0" t="n">
        <v>2</v>
      </c>
      <c r="L5" s="0" t="n">
        <v>2</v>
      </c>
      <c r="M5" s="0" t="n">
        <v>3</v>
      </c>
      <c r="N5" s="0" t="n">
        <v>3</v>
      </c>
      <c r="O5" s="0" t="n">
        <v>3</v>
      </c>
      <c r="P5" s="0" t="n">
        <v>5</v>
      </c>
      <c r="Q5" s="0" t="n">
        <v>3</v>
      </c>
      <c r="R5" s="0" t="n">
        <v>2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0</v>
      </c>
      <c r="Y5" s="0" t="n">
        <v>3</v>
      </c>
      <c r="Z5" s="0" t="n">
        <v>5</v>
      </c>
      <c r="AA5" s="0" t="n">
        <v>3</v>
      </c>
      <c r="AB5" s="0" t="n">
        <v>4</v>
      </c>
      <c r="AC5" s="0" t="n">
        <v>5</v>
      </c>
      <c r="AD5" s="0" t="n">
        <v>4</v>
      </c>
      <c r="AE5" s="0" t="n">
        <v>4</v>
      </c>
      <c r="AF5" s="0" t="n">
        <v>1</v>
      </c>
      <c r="AG5" s="0" t="n">
        <v>1</v>
      </c>
      <c r="AH5" s="0" t="n">
        <v>1</v>
      </c>
      <c r="AI5" s="0" t="n">
        <v>3</v>
      </c>
      <c r="AJ5" s="0" t="n">
        <v>3</v>
      </c>
      <c r="AK5" s="0" t="n">
        <v>2</v>
      </c>
      <c r="AL5" s="0" t="n">
        <v>3</v>
      </c>
      <c r="AM5" s="0" t="n">
        <v>5</v>
      </c>
      <c r="AN5" s="0" t="n">
        <v>3</v>
      </c>
      <c r="AO5" s="0" t="n">
        <v>2</v>
      </c>
      <c r="AP5" s="0" t="n">
        <v>3</v>
      </c>
      <c r="AQ5" s="0" t="n">
        <v>4</v>
      </c>
      <c r="AR5" s="0" t="n">
        <v>4</v>
      </c>
      <c r="AS5" s="0" t="n">
        <v>4</v>
      </c>
      <c r="AT5" s="0" t="n">
        <v>3</v>
      </c>
      <c r="AU5" s="0" t="n">
        <v>4</v>
      </c>
      <c r="AV5" s="0" t="n">
        <v>2</v>
      </c>
      <c r="AW5" s="0" t="n">
        <v>4</v>
      </c>
      <c r="AX5" s="0" t="s">
        <v>72</v>
      </c>
      <c r="AY5" s="0" t="s">
        <v>73</v>
      </c>
      <c r="AZ5" s="0" t="s">
        <v>74</v>
      </c>
      <c r="BA5" s="0" t="s">
        <v>75</v>
      </c>
    </row>
    <row r="6" customFormat="false" ht="15" hidden="false" customHeight="false" outlineLevel="0" collapsed="false">
      <c r="A6" s="0" t="n">
        <v>5</v>
      </c>
      <c r="B6" s="0" t="s">
        <v>76</v>
      </c>
      <c r="C6" s="0" t="n">
        <v>15</v>
      </c>
      <c r="D6" s="0" t="s">
        <v>61</v>
      </c>
      <c r="E6" s="0" t="n">
        <v>9</v>
      </c>
      <c r="F6" s="0" t="s">
        <v>77</v>
      </c>
      <c r="G6" s="0" t="n">
        <v>1</v>
      </c>
      <c r="H6" s="0" t="n">
        <v>1</v>
      </c>
      <c r="I6" s="0" t="n">
        <v>2</v>
      </c>
      <c r="J6" s="0" t="n">
        <v>3</v>
      </c>
      <c r="K6" s="0" t="n">
        <v>3</v>
      </c>
      <c r="L6" s="0" t="n">
        <v>4</v>
      </c>
      <c r="M6" s="0" t="n">
        <v>4</v>
      </c>
      <c r="N6" s="0" t="n">
        <v>4</v>
      </c>
      <c r="O6" s="0" t="n">
        <v>2</v>
      </c>
      <c r="P6" s="0" t="n">
        <v>5</v>
      </c>
      <c r="Q6" s="0" t="n">
        <v>3</v>
      </c>
      <c r="R6" s="0" t="n">
        <v>2</v>
      </c>
      <c r="S6" s="0" t="n">
        <v>1</v>
      </c>
      <c r="T6" s="0" t="n">
        <v>1</v>
      </c>
      <c r="U6" s="0" t="n">
        <v>0</v>
      </c>
      <c r="V6" s="0" t="n">
        <v>0</v>
      </c>
      <c r="W6" s="0" t="n">
        <v>0</v>
      </c>
      <c r="X6" s="0" t="n">
        <v>1</v>
      </c>
      <c r="Y6" s="0" t="n">
        <v>3</v>
      </c>
      <c r="Z6" s="0" t="n">
        <v>4</v>
      </c>
      <c r="AA6" s="0" t="n">
        <v>4</v>
      </c>
      <c r="AB6" s="0" t="n">
        <v>4</v>
      </c>
      <c r="AC6" s="0" t="n">
        <v>3</v>
      </c>
      <c r="AD6" s="0" t="n">
        <v>4</v>
      </c>
      <c r="AE6" s="0" t="n">
        <v>5</v>
      </c>
      <c r="AF6" s="0" t="n">
        <v>2</v>
      </c>
      <c r="AG6" s="0" t="n">
        <v>4</v>
      </c>
      <c r="AH6" s="0" t="n">
        <v>2</v>
      </c>
      <c r="AI6" s="0" t="n">
        <v>4</v>
      </c>
      <c r="AJ6" s="0" t="n">
        <v>5</v>
      </c>
      <c r="AK6" s="0" t="n">
        <v>5</v>
      </c>
      <c r="AL6" s="0" t="n">
        <v>3</v>
      </c>
      <c r="AM6" s="0" t="n">
        <v>5</v>
      </c>
      <c r="AN6" s="0" t="n">
        <v>3</v>
      </c>
      <c r="AO6" s="0" t="n">
        <v>2</v>
      </c>
      <c r="AP6" s="0" t="n">
        <v>3</v>
      </c>
      <c r="AQ6" s="0" t="n">
        <v>5</v>
      </c>
      <c r="AR6" s="0" t="n">
        <v>4</v>
      </c>
      <c r="AS6" s="0" t="n">
        <v>3</v>
      </c>
      <c r="AT6" s="0" t="n">
        <v>5</v>
      </c>
      <c r="AU6" s="0" t="n">
        <v>4</v>
      </c>
      <c r="AV6" s="0" t="n">
        <v>3</v>
      </c>
      <c r="AW6" s="0" t="n">
        <v>5</v>
      </c>
      <c r="AX6" s="0" t="s">
        <v>78</v>
      </c>
      <c r="AY6" s="0" t="s">
        <v>79</v>
      </c>
      <c r="AZ6" s="0" t="s">
        <v>80</v>
      </c>
      <c r="BA6" s="0" t="s">
        <v>81</v>
      </c>
    </row>
    <row r="7" customFormat="false" ht="15" hidden="false" customHeight="false" outlineLevel="0" collapsed="false">
      <c r="A7" s="0" t="n">
        <v>6</v>
      </c>
      <c r="B7" s="0" t="s">
        <v>82</v>
      </c>
      <c r="C7" s="0" t="n">
        <v>14</v>
      </c>
      <c r="D7" s="0" t="s">
        <v>54</v>
      </c>
      <c r="E7" s="0" t="n">
        <v>9</v>
      </c>
      <c r="F7" s="0" t="s">
        <v>77</v>
      </c>
      <c r="G7" s="0" t="n">
        <v>4</v>
      </c>
      <c r="H7" s="0" t="n">
        <v>2</v>
      </c>
      <c r="I7" s="0" t="n">
        <v>3</v>
      </c>
      <c r="J7" s="0" t="n">
        <v>4</v>
      </c>
      <c r="K7" s="0" t="n">
        <v>4</v>
      </c>
      <c r="L7" s="0" t="n">
        <v>5</v>
      </c>
      <c r="M7" s="0" t="n">
        <v>4</v>
      </c>
      <c r="N7" s="0" t="n">
        <v>3</v>
      </c>
      <c r="O7" s="0" t="n">
        <v>4</v>
      </c>
      <c r="P7" s="0" t="n">
        <v>4</v>
      </c>
      <c r="Q7" s="0" t="n">
        <v>3</v>
      </c>
      <c r="R7" s="0" t="n">
        <v>3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1</v>
      </c>
      <c r="Y7" s="0" t="n">
        <v>5</v>
      </c>
      <c r="Z7" s="0" t="n">
        <v>4</v>
      </c>
      <c r="AA7" s="0" t="n">
        <v>5</v>
      </c>
      <c r="AB7" s="0" t="n">
        <v>4</v>
      </c>
      <c r="AC7" s="0" t="n">
        <v>5</v>
      </c>
      <c r="AD7" s="0" t="n">
        <v>4</v>
      </c>
      <c r="AE7" s="0" t="n">
        <v>4</v>
      </c>
      <c r="AF7" s="0" t="n">
        <v>1</v>
      </c>
      <c r="AG7" s="0" t="n">
        <v>5</v>
      </c>
      <c r="AH7" s="0" t="n">
        <v>5</v>
      </c>
      <c r="AI7" s="0" t="n">
        <v>5</v>
      </c>
      <c r="AJ7" s="0" t="n">
        <v>5</v>
      </c>
      <c r="AK7" s="0" t="n">
        <v>3</v>
      </c>
      <c r="AL7" s="0" t="n">
        <v>4</v>
      </c>
      <c r="AM7" s="0" t="n">
        <v>4</v>
      </c>
      <c r="AN7" s="0" t="n">
        <v>3</v>
      </c>
      <c r="AO7" s="0" t="n">
        <v>3</v>
      </c>
      <c r="AP7" s="0" t="n">
        <v>5</v>
      </c>
      <c r="AQ7" s="0" t="n">
        <v>4</v>
      </c>
      <c r="AR7" s="0" t="n">
        <v>5</v>
      </c>
      <c r="AS7" s="0" t="n">
        <v>4</v>
      </c>
      <c r="AT7" s="0" t="n">
        <v>5</v>
      </c>
      <c r="AU7" s="0" t="n">
        <v>4</v>
      </c>
      <c r="AV7" s="0" t="n">
        <v>4</v>
      </c>
      <c r="AW7" s="0" t="n">
        <v>5</v>
      </c>
      <c r="AX7" s="0" t="s">
        <v>83</v>
      </c>
      <c r="AY7" s="0" t="s">
        <v>84</v>
      </c>
      <c r="AZ7" s="0" t="s">
        <v>85</v>
      </c>
      <c r="BA7" s="0" t="s">
        <v>86</v>
      </c>
    </row>
    <row r="8" customFormat="false" ht="15" hidden="false" customHeight="false" outlineLevel="0" collapsed="false">
      <c r="A8" s="0" t="n">
        <v>7</v>
      </c>
      <c r="B8" s="0" t="s">
        <v>87</v>
      </c>
      <c r="C8" s="0" t="n">
        <v>15</v>
      </c>
      <c r="D8" s="0" t="s">
        <v>88</v>
      </c>
      <c r="E8" s="0" t="n">
        <v>9</v>
      </c>
      <c r="F8" s="0" t="s">
        <v>77</v>
      </c>
      <c r="G8" s="0" t="n">
        <v>1</v>
      </c>
      <c r="H8" s="0" t="n">
        <v>1</v>
      </c>
      <c r="I8" s="0" t="n">
        <v>2</v>
      </c>
      <c r="J8" s="0" t="n">
        <v>2</v>
      </c>
      <c r="K8" s="0" t="n">
        <v>2</v>
      </c>
      <c r="L8" s="0" t="n">
        <v>2</v>
      </c>
      <c r="M8" s="0" t="n">
        <v>2</v>
      </c>
      <c r="N8" s="0" t="n">
        <v>4</v>
      </c>
      <c r="O8" s="0" t="n">
        <v>2</v>
      </c>
      <c r="P8" s="0" t="n">
        <v>5</v>
      </c>
      <c r="Q8" s="0" t="n">
        <v>3</v>
      </c>
      <c r="R8" s="0" t="n">
        <v>4</v>
      </c>
      <c r="S8" s="0" t="n">
        <v>1</v>
      </c>
      <c r="T8" s="0" t="n">
        <v>1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3</v>
      </c>
      <c r="Z8" s="0" t="n">
        <v>5</v>
      </c>
      <c r="AA8" s="0" t="n">
        <v>3</v>
      </c>
      <c r="AB8" s="0" t="n">
        <v>5</v>
      </c>
      <c r="AC8" s="0" t="n">
        <v>3</v>
      </c>
      <c r="AD8" s="0" t="n">
        <v>4</v>
      </c>
      <c r="AE8" s="0" t="n">
        <v>5</v>
      </c>
      <c r="AF8" s="0" t="n">
        <v>1</v>
      </c>
      <c r="AG8" s="0" t="n">
        <v>1</v>
      </c>
      <c r="AH8" s="0" t="n">
        <v>2</v>
      </c>
      <c r="AI8" s="0" t="n">
        <v>1</v>
      </c>
      <c r="AJ8" s="0" t="n">
        <v>2</v>
      </c>
      <c r="AK8" s="0" t="n">
        <v>3</v>
      </c>
      <c r="AL8" s="0" t="n">
        <v>2</v>
      </c>
      <c r="AM8" s="0" t="n">
        <v>5</v>
      </c>
      <c r="AN8" s="0" t="n">
        <v>4</v>
      </c>
      <c r="AO8" s="0" t="n">
        <v>4</v>
      </c>
      <c r="AP8" s="0" t="n">
        <v>3</v>
      </c>
      <c r="AQ8" s="0" t="n">
        <v>5</v>
      </c>
      <c r="AR8" s="0" t="n">
        <v>3</v>
      </c>
      <c r="AS8" s="0" t="n">
        <v>3</v>
      </c>
      <c r="AT8" s="0" t="n">
        <v>4</v>
      </c>
      <c r="AU8" s="0" t="n">
        <v>4</v>
      </c>
      <c r="AV8" s="0" t="n">
        <v>2</v>
      </c>
      <c r="AW8" s="0" t="n">
        <v>5</v>
      </c>
      <c r="AX8" s="0" t="s">
        <v>89</v>
      </c>
      <c r="AY8" s="0" t="s">
        <v>90</v>
      </c>
      <c r="AZ8" s="0" t="s">
        <v>91</v>
      </c>
      <c r="BA8" s="0" t="s">
        <v>92</v>
      </c>
    </row>
    <row r="9" customFormat="false" ht="15" hidden="false" customHeight="false" outlineLevel="0" collapsed="false">
      <c r="A9" s="0" t="n">
        <v>8</v>
      </c>
      <c r="B9" s="0" t="s">
        <v>93</v>
      </c>
      <c r="C9" s="0" t="n">
        <v>14</v>
      </c>
      <c r="D9" s="0" t="s">
        <v>54</v>
      </c>
      <c r="E9" s="0" t="n">
        <v>9</v>
      </c>
      <c r="F9" s="0" t="s">
        <v>77</v>
      </c>
      <c r="G9" s="0" t="n">
        <v>2</v>
      </c>
      <c r="H9" s="0" t="n">
        <v>1</v>
      </c>
      <c r="I9" s="0" t="n">
        <v>1</v>
      </c>
      <c r="J9" s="0" t="n">
        <v>3</v>
      </c>
      <c r="K9" s="0" t="n">
        <v>3</v>
      </c>
      <c r="L9" s="0" t="n">
        <v>2</v>
      </c>
      <c r="M9" s="0" t="n">
        <v>3</v>
      </c>
      <c r="N9" s="0" t="n">
        <v>2</v>
      </c>
      <c r="O9" s="0" t="n">
        <v>1</v>
      </c>
      <c r="P9" s="0" t="n">
        <v>3</v>
      </c>
      <c r="Q9" s="0" t="n">
        <v>3</v>
      </c>
      <c r="R9" s="0" t="n">
        <v>3</v>
      </c>
      <c r="S9" s="0" t="n">
        <v>0</v>
      </c>
      <c r="T9" s="0" t="n">
        <v>1</v>
      </c>
      <c r="U9" s="0" t="n">
        <v>0</v>
      </c>
      <c r="V9" s="0" t="n">
        <v>1</v>
      </c>
      <c r="W9" s="0" t="n">
        <v>1</v>
      </c>
      <c r="X9" s="0" t="n">
        <v>0</v>
      </c>
      <c r="Y9" s="0" t="n">
        <v>3</v>
      </c>
      <c r="Z9" s="0" t="n">
        <v>3</v>
      </c>
      <c r="AA9" s="0" t="n">
        <v>5</v>
      </c>
      <c r="AB9" s="0" t="n">
        <v>3</v>
      </c>
      <c r="AC9" s="0" t="n">
        <v>3</v>
      </c>
      <c r="AD9" s="0" t="n">
        <v>4</v>
      </c>
      <c r="AE9" s="0" t="n">
        <v>4</v>
      </c>
      <c r="AF9" s="0" t="n">
        <v>2</v>
      </c>
      <c r="AG9" s="0" t="n">
        <v>4</v>
      </c>
      <c r="AH9" s="0" t="n">
        <v>3</v>
      </c>
      <c r="AI9" s="0" t="n">
        <v>3</v>
      </c>
      <c r="AJ9" s="0" t="n">
        <v>3</v>
      </c>
      <c r="AK9" s="0" t="n">
        <v>2</v>
      </c>
      <c r="AL9" s="0" t="n">
        <v>1</v>
      </c>
      <c r="AM9" s="0" t="n">
        <v>3</v>
      </c>
      <c r="AN9" s="0" t="n">
        <v>4</v>
      </c>
      <c r="AO9" s="0" t="n">
        <v>2</v>
      </c>
      <c r="AP9" s="0" t="n">
        <v>3</v>
      </c>
      <c r="AQ9" s="0" t="n">
        <v>4</v>
      </c>
      <c r="AR9" s="0" t="n">
        <v>3</v>
      </c>
      <c r="AS9" s="0" t="n">
        <v>3</v>
      </c>
      <c r="AT9" s="0" t="n">
        <v>5</v>
      </c>
      <c r="AU9" s="0" t="n">
        <v>5</v>
      </c>
      <c r="AV9" s="0" t="n">
        <v>2</v>
      </c>
      <c r="AW9" s="0" t="n">
        <v>5</v>
      </c>
      <c r="AX9" s="0" t="s">
        <v>94</v>
      </c>
      <c r="AY9" s="0" t="s">
        <v>95</v>
      </c>
      <c r="AZ9" s="0" t="s">
        <v>96</v>
      </c>
      <c r="BA9" s="0" t="s">
        <v>97</v>
      </c>
    </row>
    <row r="10" customFormat="false" ht="15" hidden="false" customHeight="false" outlineLevel="0" collapsed="false">
      <c r="A10" s="0" t="n">
        <v>9</v>
      </c>
      <c r="B10" s="0" t="s">
        <v>98</v>
      </c>
      <c r="C10" s="0" t="n">
        <v>15</v>
      </c>
      <c r="D10" s="0" t="s">
        <v>61</v>
      </c>
      <c r="E10" s="0" t="n">
        <v>10</v>
      </c>
      <c r="F10" s="0" t="s">
        <v>99</v>
      </c>
      <c r="G10" s="0" t="n">
        <v>1</v>
      </c>
      <c r="H10" s="0" t="n">
        <v>1</v>
      </c>
      <c r="I10" s="0" t="n">
        <v>2</v>
      </c>
      <c r="J10" s="0" t="n">
        <v>2</v>
      </c>
      <c r="K10" s="0" t="n">
        <v>4</v>
      </c>
      <c r="L10" s="0" t="n">
        <v>4</v>
      </c>
      <c r="M10" s="0" t="n">
        <v>2</v>
      </c>
      <c r="N10" s="0" t="n">
        <v>4</v>
      </c>
      <c r="O10" s="0" t="n">
        <v>3</v>
      </c>
      <c r="P10" s="0" t="n">
        <v>4</v>
      </c>
      <c r="Q10" s="0" t="n">
        <v>2</v>
      </c>
      <c r="R10" s="0" t="n">
        <v>2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0</v>
      </c>
      <c r="Y10" s="0" t="n">
        <v>3</v>
      </c>
      <c r="Z10" s="0" t="n">
        <v>4</v>
      </c>
      <c r="AA10" s="0" t="n">
        <v>4</v>
      </c>
      <c r="AB10" s="0" t="n">
        <v>5</v>
      </c>
      <c r="AC10" s="0" t="n">
        <v>3</v>
      </c>
      <c r="AD10" s="0" t="n">
        <v>3</v>
      </c>
      <c r="AE10" s="0" t="n">
        <v>4</v>
      </c>
      <c r="AF10" s="0" t="n">
        <v>1</v>
      </c>
      <c r="AG10" s="0" t="n">
        <v>2</v>
      </c>
      <c r="AH10" s="0" t="n">
        <v>3</v>
      </c>
      <c r="AI10" s="0" t="n">
        <v>5</v>
      </c>
      <c r="AJ10" s="0" t="n">
        <v>3</v>
      </c>
      <c r="AK10" s="0" t="n">
        <v>5</v>
      </c>
      <c r="AL10" s="0" t="n">
        <v>3</v>
      </c>
      <c r="AM10" s="0" t="n">
        <v>4</v>
      </c>
      <c r="AN10" s="0" t="n">
        <v>2</v>
      </c>
      <c r="AO10" s="0" t="n">
        <v>2</v>
      </c>
      <c r="AP10" s="0" t="n">
        <v>4</v>
      </c>
      <c r="AQ10" s="0" t="n">
        <v>4</v>
      </c>
      <c r="AR10" s="0" t="n">
        <v>4</v>
      </c>
      <c r="AS10" s="0" t="n">
        <v>4</v>
      </c>
      <c r="AT10" s="0" t="n">
        <v>4</v>
      </c>
      <c r="AU10" s="0" t="n">
        <v>5</v>
      </c>
      <c r="AV10" s="0" t="n">
        <v>4</v>
      </c>
      <c r="AW10" s="0" t="n">
        <v>4</v>
      </c>
      <c r="AX10" s="0" t="s">
        <v>100</v>
      </c>
      <c r="AY10" s="0" t="s">
        <v>101</v>
      </c>
      <c r="AZ10" s="0" t="s">
        <v>102</v>
      </c>
      <c r="BA10" s="0" t="s">
        <v>103</v>
      </c>
    </row>
    <row r="11" customFormat="false" ht="15" hidden="false" customHeight="false" outlineLevel="0" collapsed="false">
      <c r="A11" s="0" t="n">
        <v>10</v>
      </c>
      <c r="B11" s="0" t="s">
        <v>104</v>
      </c>
      <c r="C11" s="0" t="n">
        <v>16</v>
      </c>
      <c r="D11" s="0" t="s">
        <v>54</v>
      </c>
      <c r="E11" s="0" t="n">
        <v>10</v>
      </c>
      <c r="F11" s="0" t="s">
        <v>99</v>
      </c>
      <c r="G11" s="0" t="n">
        <v>3</v>
      </c>
      <c r="H11" s="0" t="n">
        <v>3</v>
      </c>
      <c r="I11" s="0" t="n">
        <v>1</v>
      </c>
      <c r="J11" s="0" t="n">
        <v>5</v>
      </c>
      <c r="K11" s="0" t="n">
        <v>3</v>
      </c>
      <c r="L11" s="0" t="n">
        <v>3</v>
      </c>
      <c r="M11" s="0" t="n">
        <v>5</v>
      </c>
      <c r="N11" s="0" t="n">
        <v>4</v>
      </c>
      <c r="O11" s="0" t="n">
        <v>5</v>
      </c>
      <c r="P11" s="0" t="n">
        <v>4</v>
      </c>
      <c r="Q11" s="0" t="n">
        <v>4</v>
      </c>
      <c r="R11" s="0" t="n">
        <v>3</v>
      </c>
      <c r="S11" s="0" t="n">
        <v>0</v>
      </c>
      <c r="T11" s="0" t="n">
        <v>1</v>
      </c>
      <c r="U11" s="0" t="n">
        <v>1</v>
      </c>
      <c r="V11" s="0" t="n">
        <v>1</v>
      </c>
      <c r="W11" s="0" t="n">
        <v>0</v>
      </c>
      <c r="X11" s="0" t="n">
        <v>1</v>
      </c>
      <c r="Y11" s="0" t="n">
        <v>5</v>
      </c>
      <c r="Z11" s="0" t="n">
        <v>5</v>
      </c>
      <c r="AA11" s="0" t="n">
        <v>3</v>
      </c>
      <c r="AB11" s="0" t="n">
        <v>4</v>
      </c>
      <c r="AC11" s="0" t="n">
        <v>4</v>
      </c>
      <c r="AD11" s="0" t="n">
        <v>4</v>
      </c>
      <c r="AE11" s="0" t="n">
        <v>4</v>
      </c>
      <c r="AF11" s="0" t="n">
        <v>2</v>
      </c>
      <c r="AG11" s="0" t="n">
        <v>5</v>
      </c>
      <c r="AH11" s="0" t="n">
        <v>3</v>
      </c>
      <c r="AI11" s="0" t="n">
        <v>2</v>
      </c>
      <c r="AJ11" s="0" t="n">
        <v>4</v>
      </c>
      <c r="AK11" s="0" t="n">
        <v>5</v>
      </c>
      <c r="AL11" s="0" t="n">
        <v>5</v>
      </c>
      <c r="AM11" s="0" t="n">
        <v>5</v>
      </c>
      <c r="AN11" s="0" t="n">
        <v>4</v>
      </c>
      <c r="AO11" s="0" t="n">
        <v>3</v>
      </c>
      <c r="AP11" s="0" t="n">
        <v>5</v>
      </c>
      <c r="AQ11" s="0" t="n">
        <v>4</v>
      </c>
      <c r="AR11" s="0" t="n">
        <v>5</v>
      </c>
      <c r="AS11" s="0" t="n">
        <v>4</v>
      </c>
      <c r="AT11" s="0" t="n">
        <v>4</v>
      </c>
      <c r="AU11" s="0" t="n">
        <v>5</v>
      </c>
      <c r="AV11" s="0" t="n">
        <v>2</v>
      </c>
      <c r="AW11" s="0" t="n">
        <v>5</v>
      </c>
      <c r="AX11" s="0" t="s">
        <v>105</v>
      </c>
      <c r="AY11" s="0" t="s">
        <v>106</v>
      </c>
      <c r="AZ11" s="0" t="s">
        <v>107</v>
      </c>
      <c r="BA11" s="0" t="s">
        <v>108</v>
      </c>
    </row>
    <row r="12" customFormat="false" ht="15" hidden="false" customHeight="false" outlineLevel="0" collapsed="false">
      <c r="A12" s="0" t="n">
        <v>11</v>
      </c>
      <c r="B12" s="0" t="s">
        <v>109</v>
      </c>
      <c r="C12" s="0" t="n">
        <v>15</v>
      </c>
      <c r="D12" s="0" t="s">
        <v>61</v>
      </c>
      <c r="E12" s="0" t="n">
        <v>10</v>
      </c>
      <c r="F12" s="0" t="s">
        <v>99</v>
      </c>
      <c r="G12" s="0" t="n">
        <v>2</v>
      </c>
      <c r="H12" s="0" t="n">
        <v>1</v>
      </c>
      <c r="I12" s="0" t="n">
        <v>2</v>
      </c>
      <c r="J12" s="0" t="n">
        <v>2</v>
      </c>
      <c r="K12" s="0" t="n">
        <v>3</v>
      </c>
      <c r="L12" s="0" t="n">
        <v>2</v>
      </c>
      <c r="M12" s="0" t="n">
        <v>1</v>
      </c>
      <c r="N12" s="0" t="n">
        <v>1</v>
      </c>
      <c r="O12" s="0" t="n">
        <v>1</v>
      </c>
      <c r="P12" s="0" t="n">
        <v>2</v>
      </c>
      <c r="Q12" s="0" t="n">
        <v>3</v>
      </c>
      <c r="R12" s="0" t="n">
        <v>3</v>
      </c>
      <c r="S12" s="0" t="n">
        <v>1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0</v>
      </c>
      <c r="Y12" s="0" t="n">
        <v>2</v>
      </c>
      <c r="Z12" s="0" t="n">
        <v>3</v>
      </c>
      <c r="AA12" s="0" t="n">
        <v>5</v>
      </c>
      <c r="AB12" s="0" t="n">
        <v>5</v>
      </c>
      <c r="AC12" s="0" t="n">
        <v>3</v>
      </c>
      <c r="AD12" s="0" t="n">
        <v>4</v>
      </c>
      <c r="AE12" s="0" t="n">
        <v>4</v>
      </c>
      <c r="AF12" s="0" t="n">
        <v>1</v>
      </c>
      <c r="AG12" s="0" t="n">
        <v>1</v>
      </c>
      <c r="AH12" s="0" t="n">
        <v>2</v>
      </c>
      <c r="AI12" s="0" t="n">
        <v>2</v>
      </c>
      <c r="AJ12" s="0" t="n">
        <v>1</v>
      </c>
      <c r="AK12" s="0" t="n">
        <v>1</v>
      </c>
      <c r="AL12" s="0" t="n">
        <v>1</v>
      </c>
      <c r="AM12" s="0" t="n">
        <v>3</v>
      </c>
      <c r="AN12" s="0" t="n">
        <v>3</v>
      </c>
      <c r="AO12" s="0" t="n">
        <v>3</v>
      </c>
      <c r="AP12" s="0" t="n">
        <v>4</v>
      </c>
      <c r="AQ12" s="0" t="n">
        <v>5</v>
      </c>
      <c r="AR12" s="0" t="n">
        <v>2</v>
      </c>
      <c r="AS12" s="0" t="n">
        <v>3</v>
      </c>
      <c r="AT12" s="0" t="n">
        <v>4</v>
      </c>
      <c r="AU12" s="0" t="n">
        <v>4</v>
      </c>
      <c r="AV12" s="0" t="n">
        <v>4</v>
      </c>
      <c r="AW12" s="0" t="n">
        <v>4</v>
      </c>
      <c r="AX12" s="0" t="s">
        <v>110</v>
      </c>
      <c r="AY12" s="0" t="s">
        <v>111</v>
      </c>
      <c r="AZ12" s="0" t="s">
        <v>112</v>
      </c>
      <c r="BA12" s="0" t="s">
        <v>113</v>
      </c>
    </row>
    <row r="13" customFormat="false" ht="15" hidden="false" customHeight="false" outlineLevel="0" collapsed="false">
      <c r="A13" s="0" t="n">
        <v>12</v>
      </c>
      <c r="B13" s="0" t="s">
        <v>114</v>
      </c>
      <c r="C13" s="0" t="n">
        <v>16</v>
      </c>
      <c r="D13" s="0" t="s">
        <v>54</v>
      </c>
      <c r="E13" s="0" t="n">
        <v>10</v>
      </c>
      <c r="F13" s="0" t="s">
        <v>99</v>
      </c>
      <c r="G13" s="0" t="n">
        <v>3</v>
      </c>
      <c r="H13" s="0" t="n">
        <v>2</v>
      </c>
      <c r="I13" s="0" t="n">
        <v>1</v>
      </c>
      <c r="J13" s="0" t="n">
        <v>4</v>
      </c>
      <c r="K13" s="0" t="n">
        <v>3</v>
      </c>
      <c r="L13" s="0" t="n">
        <v>5</v>
      </c>
      <c r="M13" s="0" t="n">
        <v>3</v>
      </c>
      <c r="N13" s="0" t="n">
        <v>4</v>
      </c>
      <c r="O13" s="0" t="n">
        <v>5</v>
      </c>
      <c r="P13" s="0" t="n">
        <v>5</v>
      </c>
      <c r="Q13" s="0" t="n">
        <v>3</v>
      </c>
      <c r="R13" s="0" t="n">
        <v>3</v>
      </c>
      <c r="S13" s="0" t="n">
        <v>1</v>
      </c>
      <c r="T13" s="0" t="n">
        <v>0</v>
      </c>
      <c r="U13" s="0" t="n">
        <v>1</v>
      </c>
      <c r="V13" s="0" t="n">
        <v>0</v>
      </c>
      <c r="W13" s="0" t="n">
        <v>1</v>
      </c>
      <c r="X13" s="0" t="n">
        <v>1</v>
      </c>
      <c r="Y13" s="0" t="n">
        <v>5</v>
      </c>
      <c r="Z13" s="0" t="n">
        <v>5</v>
      </c>
      <c r="AA13" s="0" t="n">
        <v>5</v>
      </c>
      <c r="AB13" s="0" t="n">
        <v>5</v>
      </c>
      <c r="AC13" s="0" t="n">
        <v>4</v>
      </c>
      <c r="AD13" s="0" t="n">
        <v>4</v>
      </c>
      <c r="AE13" s="0" t="n">
        <v>4</v>
      </c>
      <c r="AF13" s="0" t="n">
        <v>1</v>
      </c>
      <c r="AG13" s="0" t="n">
        <v>4</v>
      </c>
      <c r="AH13" s="0" t="n">
        <v>4</v>
      </c>
      <c r="AI13" s="0" t="n">
        <v>4</v>
      </c>
      <c r="AJ13" s="0" t="n">
        <v>2</v>
      </c>
      <c r="AK13" s="0" t="n">
        <v>5</v>
      </c>
      <c r="AL13" s="0" t="n">
        <v>5</v>
      </c>
      <c r="AM13" s="0" t="n">
        <v>5</v>
      </c>
      <c r="AN13" s="0" t="n">
        <v>4</v>
      </c>
      <c r="AO13" s="0" t="n">
        <v>3</v>
      </c>
      <c r="AP13" s="0" t="n">
        <v>4</v>
      </c>
      <c r="AQ13" s="0" t="n">
        <v>4</v>
      </c>
      <c r="AR13" s="0" t="n">
        <v>5</v>
      </c>
      <c r="AS13" s="0" t="n">
        <v>5</v>
      </c>
      <c r="AT13" s="0" t="n">
        <v>4</v>
      </c>
      <c r="AU13" s="0" t="n">
        <v>4</v>
      </c>
      <c r="AV13" s="0" t="n">
        <v>3</v>
      </c>
      <c r="AW13" s="0" t="n">
        <v>4</v>
      </c>
      <c r="AX13" s="0" t="s">
        <v>115</v>
      </c>
      <c r="AY13" s="0" t="s">
        <v>116</v>
      </c>
      <c r="AZ13" s="0" t="s">
        <v>117</v>
      </c>
      <c r="BA13" s="0" t="s">
        <v>118</v>
      </c>
    </row>
    <row r="14" customFormat="false" ht="15" hidden="false" customHeight="false" outlineLevel="0" collapsed="false">
      <c r="A14" s="0" t="n">
        <v>13</v>
      </c>
      <c r="B14" s="0" t="s">
        <v>119</v>
      </c>
      <c r="C14" s="0" t="n">
        <v>16</v>
      </c>
      <c r="D14" s="0" t="s">
        <v>61</v>
      </c>
      <c r="E14" s="0" t="n">
        <v>10</v>
      </c>
      <c r="F14" s="0" t="s">
        <v>120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3</v>
      </c>
      <c r="M14" s="0" t="n">
        <v>2</v>
      </c>
      <c r="N14" s="0" t="n">
        <v>2</v>
      </c>
      <c r="O14" s="0" t="n">
        <v>2</v>
      </c>
      <c r="P14" s="0" t="n">
        <v>3</v>
      </c>
      <c r="Q14" s="0" t="n">
        <v>3</v>
      </c>
      <c r="R14" s="0" t="n">
        <v>5</v>
      </c>
      <c r="S14" s="0" t="n">
        <v>1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3</v>
      </c>
      <c r="Z14" s="0" t="n">
        <v>4</v>
      </c>
      <c r="AA14" s="0" t="n">
        <v>5</v>
      </c>
      <c r="AB14" s="0" t="n">
        <v>5</v>
      </c>
      <c r="AC14" s="0" t="n">
        <v>4</v>
      </c>
      <c r="AD14" s="0" t="n">
        <v>5</v>
      </c>
      <c r="AE14" s="0" t="n">
        <v>5</v>
      </c>
      <c r="AF14" s="0" t="n">
        <v>2</v>
      </c>
      <c r="AG14" s="0" t="n">
        <v>2</v>
      </c>
      <c r="AH14" s="0" t="n">
        <v>1</v>
      </c>
      <c r="AI14" s="0" t="n">
        <v>2</v>
      </c>
      <c r="AJ14" s="0" t="n">
        <v>3</v>
      </c>
      <c r="AK14" s="0" t="n">
        <v>3</v>
      </c>
      <c r="AL14" s="0" t="n">
        <v>3</v>
      </c>
      <c r="AM14" s="0" t="n">
        <v>4</v>
      </c>
      <c r="AN14" s="0" t="n">
        <v>3</v>
      </c>
      <c r="AO14" s="0" t="n">
        <v>5</v>
      </c>
      <c r="AP14" s="0" t="n">
        <v>4</v>
      </c>
      <c r="AQ14" s="0" t="n">
        <v>4</v>
      </c>
      <c r="AR14" s="0" t="n">
        <v>3</v>
      </c>
      <c r="AS14" s="0" t="n">
        <v>4</v>
      </c>
      <c r="AT14" s="0" t="n">
        <v>4</v>
      </c>
      <c r="AU14" s="0" t="n">
        <v>5</v>
      </c>
      <c r="AV14" s="0" t="n">
        <v>4</v>
      </c>
      <c r="AW14" s="0" t="n">
        <v>5</v>
      </c>
      <c r="AX14" s="0" t="s">
        <v>121</v>
      </c>
      <c r="AY14" s="0" t="s">
        <v>122</v>
      </c>
      <c r="AZ14" s="0" t="s">
        <v>123</v>
      </c>
      <c r="BA14" s="0" t="s">
        <v>124</v>
      </c>
    </row>
    <row r="15" customFormat="false" ht="15" hidden="false" customHeight="false" outlineLevel="0" collapsed="false">
      <c r="A15" s="0" t="n">
        <v>14</v>
      </c>
      <c r="B15" s="0" t="s">
        <v>125</v>
      </c>
      <c r="C15" s="0" t="n">
        <v>15</v>
      </c>
      <c r="D15" s="0" t="s">
        <v>54</v>
      </c>
      <c r="E15" s="0" t="n">
        <v>10</v>
      </c>
      <c r="F15" s="0" t="s">
        <v>120</v>
      </c>
      <c r="G15" s="0" t="n">
        <v>1</v>
      </c>
      <c r="H15" s="0" t="n">
        <v>1</v>
      </c>
      <c r="I15" s="0" t="n">
        <v>1</v>
      </c>
      <c r="J15" s="0" t="n">
        <v>2</v>
      </c>
      <c r="K15" s="0" t="n">
        <v>4</v>
      </c>
      <c r="L15" s="0" t="n">
        <v>3</v>
      </c>
      <c r="M15" s="0" t="n">
        <v>2</v>
      </c>
      <c r="N15" s="0" t="n">
        <v>3</v>
      </c>
      <c r="O15" s="0" t="n">
        <v>2</v>
      </c>
      <c r="P15" s="0" t="n">
        <v>4</v>
      </c>
      <c r="Q15" s="0" t="n">
        <v>3</v>
      </c>
      <c r="R15" s="0" t="n">
        <v>2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3</v>
      </c>
      <c r="Z15" s="0" t="n">
        <v>5</v>
      </c>
      <c r="AA15" s="0" t="n">
        <v>3</v>
      </c>
      <c r="AB15" s="0" t="n">
        <v>5</v>
      </c>
      <c r="AC15" s="0" t="n">
        <v>3</v>
      </c>
      <c r="AD15" s="0" t="n">
        <v>3</v>
      </c>
      <c r="AE15" s="0" t="n">
        <v>4</v>
      </c>
      <c r="AF15" s="0" t="n">
        <v>2</v>
      </c>
      <c r="AG15" s="0" t="n">
        <v>2</v>
      </c>
      <c r="AH15" s="0" t="n">
        <v>5</v>
      </c>
      <c r="AI15" s="0" t="n">
        <v>3</v>
      </c>
      <c r="AJ15" s="0" t="n">
        <v>2</v>
      </c>
      <c r="AK15" s="0" t="n">
        <v>3</v>
      </c>
      <c r="AL15" s="0" t="n">
        <v>3</v>
      </c>
      <c r="AM15" s="0" t="n">
        <v>5</v>
      </c>
      <c r="AN15" s="0" t="n">
        <v>4</v>
      </c>
      <c r="AO15" s="0" t="n">
        <v>2</v>
      </c>
      <c r="AP15" s="0" t="n">
        <v>4</v>
      </c>
      <c r="AQ15" s="0" t="n">
        <v>4</v>
      </c>
      <c r="AR15" s="0" t="n">
        <v>4</v>
      </c>
      <c r="AS15" s="0" t="n">
        <v>4</v>
      </c>
      <c r="AT15" s="0" t="n">
        <v>4</v>
      </c>
      <c r="AU15" s="0" t="n">
        <v>4</v>
      </c>
      <c r="AV15" s="0" t="n">
        <v>2</v>
      </c>
      <c r="AW15" s="0" t="n">
        <v>4</v>
      </c>
      <c r="AX15" s="0" t="s">
        <v>126</v>
      </c>
      <c r="AY15" s="0" t="s">
        <v>127</v>
      </c>
      <c r="AZ15" s="0" t="s">
        <v>128</v>
      </c>
      <c r="BA15" s="0" t="s">
        <v>129</v>
      </c>
    </row>
    <row r="16" customFormat="false" ht="15" hidden="false" customHeight="false" outlineLevel="0" collapsed="false">
      <c r="A16" s="0" t="n">
        <v>15</v>
      </c>
      <c r="B16" s="0" t="s">
        <v>130</v>
      </c>
      <c r="C16" s="0" t="n">
        <v>16</v>
      </c>
      <c r="D16" s="0" t="s">
        <v>61</v>
      </c>
      <c r="E16" s="0" t="n">
        <v>10</v>
      </c>
      <c r="F16" s="0" t="s">
        <v>120</v>
      </c>
      <c r="G16" s="0" t="n">
        <v>1</v>
      </c>
      <c r="H16" s="0" t="n">
        <v>2</v>
      </c>
      <c r="I16" s="0" t="n">
        <v>2</v>
      </c>
      <c r="J16" s="0" t="n">
        <v>3</v>
      </c>
      <c r="K16" s="0" t="n">
        <v>2</v>
      </c>
      <c r="L16" s="0" t="n">
        <v>3</v>
      </c>
      <c r="M16" s="0" t="n">
        <v>2</v>
      </c>
      <c r="N16" s="0" t="n">
        <v>2</v>
      </c>
      <c r="O16" s="0" t="n">
        <v>3</v>
      </c>
      <c r="P16" s="0" t="n">
        <v>3</v>
      </c>
      <c r="Q16" s="0" t="n">
        <v>3</v>
      </c>
      <c r="R16" s="0" t="n">
        <v>3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1</v>
      </c>
      <c r="X16" s="0" t="n">
        <v>1</v>
      </c>
      <c r="Y16" s="0" t="n">
        <v>4</v>
      </c>
      <c r="Z16" s="0" t="n">
        <v>4</v>
      </c>
      <c r="AA16" s="0" t="n">
        <v>3</v>
      </c>
      <c r="AB16" s="0" t="n">
        <v>5</v>
      </c>
      <c r="AC16" s="0" t="n">
        <v>5</v>
      </c>
      <c r="AD16" s="0" t="n">
        <v>5</v>
      </c>
      <c r="AE16" s="0" t="n">
        <v>4</v>
      </c>
      <c r="AF16" s="0" t="n">
        <v>1</v>
      </c>
      <c r="AG16" s="0" t="n">
        <v>4</v>
      </c>
      <c r="AH16" s="0" t="n">
        <v>3</v>
      </c>
      <c r="AI16" s="0" t="n">
        <v>2</v>
      </c>
      <c r="AJ16" s="0" t="n">
        <v>3</v>
      </c>
      <c r="AK16" s="0" t="n">
        <v>2</v>
      </c>
      <c r="AL16" s="0" t="n">
        <v>3</v>
      </c>
      <c r="AM16" s="0" t="n">
        <v>3</v>
      </c>
      <c r="AN16" s="0" t="n">
        <v>3</v>
      </c>
      <c r="AO16" s="0" t="n">
        <v>2</v>
      </c>
      <c r="AP16" s="0" t="n">
        <v>4</v>
      </c>
      <c r="AQ16" s="0" t="n">
        <v>5</v>
      </c>
      <c r="AR16" s="0" t="n">
        <v>3</v>
      </c>
      <c r="AS16" s="0" t="n">
        <v>5</v>
      </c>
      <c r="AT16" s="0" t="n">
        <v>4</v>
      </c>
      <c r="AU16" s="0" t="n">
        <v>4</v>
      </c>
      <c r="AV16" s="0" t="n">
        <v>2</v>
      </c>
      <c r="AW16" s="0" t="n">
        <v>5</v>
      </c>
      <c r="AX16" s="0" t="s">
        <v>131</v>
      </c>
      <c r="AY16" s="0" t="s">
        <v>132</v>
      </c>
      <c r="AZ16" s="0" t="s">
        <v>133</v>
      </c>
      <c r="BA16" s="0" t="s">
        <v>134</v>
      </c>
    </row>
    <row r="17" customFormat="false" ht="15" hidden="false" customHeight="false" outlineLevel="0" collapsed="false">
      <c r="A17" s="0" t="n">
        <v>16</v>
      </c>
      <c r="B17" s="0" t="s">
        <v>135</v>
      </c>
      <c r="C17" s="0" t="n">
        <v>15</v>
      </c>
      <c r="D17" s="0" t="s">
        <v>54</v>
      </c>
      <c r="E17" s="0" t="n">
        <v>10</v>
      </c>
      <c r="F17" s="0" t="s">
        <v>120</v>
      </c>
      <c r="G17" s="0" t="n">
        <v>3</v>
      </c>
      <c r="H17" s="0" t="n">
        <v>2</v>
      </c>
      <c r="I17" s="0" t="n">
        <v>3</v>
      </c>
      <c r="J17" s="0" t="n">
        <v>5</v>
      </c>
      <c r="K17" s="0" t="n">
        <v>5</v>
      </c>
      <c r="L17" s="0" t="n">
        <v>3</v>
      </c>
      <c r="M17" s="0" t="n">
        <v>5</v>
      </c>
      <c r="N17" s="0" t="n">
        <v>4</v>
      </c>
      <c r="O17" s="0" t="n">
        <v>3</v>
      </c>
      <c r="P17" s="0" t="n">
        <v>4</v>
      </c>
      <c r="Q17" s="0" t="n">
        <v>5</v>
      </c>
      <c r="R17" s="0" t="n">
        <v>2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4</v>
      </c>
      <c r="Z17" s="0" t="n">
        <v>5</v>
      </c>
      <c r="AA17" s="0" t="n">
        <v>4</v>
      </c>
      <c r="AB17" s="0" t="n">
        <v>4</v>
      </c>
      <c r="AC17" s="0" t="n">
        <v>4</v>
      </c>
      <c r="AD17" s="0" t="n">
        <v>3</v>
      </c>
      <c r="AE17" s="0" t="n">
        <v>4</v>
      </c>
      <c r="AF17" s="0" t="n">
        <v>1</v>
      </c>
      <c r="AG17" s="0" t="n">
        <v>5</v>
      </c>
      <c r="AH17" s="0" t="n">
        <v>5</v>
      </c>
      <c r="AI17" s="0" t="n">
        <v>3</v>
      </c>
      <c r="AJ17" s="0" t="n">
        <v>5</v>
      </c>
      <c r="AK17" s="0" t="n">
        <v>5</v>
      </c>
      <c r="AL17" s="0" t="n">
        <v>3</v>
      </c>
      <c r="AM17" s="0" t="n">
        <v>5</v>
      </c>
      <c r="AN17" s="0" t="n">
        <v>5</v>
      </c>
      <c r="AO17" s="0" t="n">
        <v>1</v>
      </c>
      <c r="AP17" s="0" t="n">
        <v>4</v>
      </c>
      <c r="AQ17" s="0" t="n">
        <v>5</v>
      </c>
      <c r="AR17" s="0" t="n">
        <v>5</v>
      </c>
      <c r="AS17" s="0" t="n">
        <v>4</v>
      </c>
      <c r="AT17" s="0" t="n">
        <v>4</v>
      </c>
      <c r="AU17" s="0" t="n">
        <v>5</v>
      </c>
      <c r="AV17" s="0" t="n">
        <v>4</v>
      </c>
      <c r="AW17" s="0" t="n">
        <v>5</v>
      </c>
      <c r="AX17" s="0" t="s">
        <v>136</v>
      </c>
      <c r="AY17" s="0" t="s">
        <v>137</v>
      </c>
      <c r="AZ17" s="0" t="s">
        <v>138</v>
      </c>
      <c r="BA17" s="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</row>
    <row r="2" customFormat="false" ht="15" hidden="false" customHeight="false" outlineLevel="0" collapsed="false">
      <c r="A2" s="0" t="s">
        <v>146</v>
      </c>
      <c r="B2" s="0" t="n">
        <f aca="false">AVERAGE(Rohdaten!J2:J17)</f>
        <v>2.875</v>
      </c>
      <c r="C2" s="0" t="n">
        <f aca="false">STDEV(Rohdaten!J2:J17)</f>
        <v>1.20415945787923</v>
      </c>
      <c r="D2" s="0" t="n">
        <f aca="false">AVERAGE(Rohdaten!AG2:AG17)</f>
        <v>3.0625</v>
      </c>
      <c r="E2" s="0" t="n">
        <f aca="false">STDEV(Rohdaten!AG2:AG17)</f>
        <v>1.48183444869302</v>
      </c>
      <c r="F2" s="0" t="n">
        <f aca="false">D2-B2</f>
        <v>0.1875</v>
      </c>
    </row>
    <row r="3" customFormat="false" ht="15" hidden="false" customHeight="false" outlineLevel="0" collapsed="false">
      <c r="A3" s="0" t="s">
        <v>147</v>
      </c>
      <c r="B3" s="0" t="n">
        <f aca="false">AVERAGE(Rohdaten!K2:K17)</f>
        <v>3</v>
      </c>
      <c r="C3" s="0" t="n">
        <f aca="false">STDEV(Rohdaten!K2:K17)</f>
        <v>0.966091783079296</v>
      </c>
      <c r="D3" s="0" t="n">
        <f aca="false">AVERAGE(Rohdaten!AH2:AH17)</f>
        <v>3.125</v>
      </c>
      <c r="E3" s="0" t="n">
        <f aca="false">STDEV(Rohdaten!AH2:AH17)</f>
        <v>1.31021626713557</v>
      </c>
      <c r="F3" s="0" t="n">
        <f aca="false">D3-B3</f>
        <v>0.125</v>
      </c>
    </row>
    <row r="4" customFormat="false" ht="15" hidden="false" customHeight="false" outlineLevel="0" collapsed="false">
      <c r="A4" s="0" t="s">
        <v>148</v>
      </c>
      <c r="B4" s="0" t="n">
        <f aca="false">AVERAGE(Rohdaten!L2:L17)</f>
        <v>3.125</v>
      </c>
      <c r="C4" s="0" t="n">
        <f aca="false">STDEV(Rohdaten!L2:L17)</f>
        <v>1.02469507659596</v>
      </c>
      <c r="D4" s="0" t="n">
        <f aca="false">AVERAGE(Rohdaten!AI2:AI17)</f>
        <v>3.1875</v>
      </c>
      <c r="E4" s="0" t="n">
        <f aca="false">STDEV(Rohdaten!AI2:AI17)</f>
        <v>1.22304265393049</v>
      </c>
      <c r="F4" s="0" t="n">
        <f aca="false">D4-B4</f>
        <v>0.0625</v>
      </c>
    </row>
    <row r="5" customFormat="false" ht="15" hidden="false" customHeight="false" outlineLevel="0" collapsed="false">
      <c r="A5" s="0" t="s">
        <v>149</v>
      </c>
      <c r="B5" s="0" t="n">
        <f aca="false">AVERAGE(Rohdaten!M2:M17)</f>
        <v>2.8125</v>
      </c>
      <c r="C5" s="0" t="n">
        <f aca="false">STDEV(Rohdaten!M2:M17)</f>
        <v>1.22304265393049</v>
      </c>
      <c r="D5" s="0" t="n">
        <f aca="false">AVERAGE(Rohdaten!AJ2:AJ17)</f>
        <v>2.9375</v>
      </c>
      <c r="E5" s="0" t="n">
        <f aca="false">STDEV(Rohdaten!AJ2:AJ17)</f>
        <v>1.23659478676997</v>
      </c>
      <c r="F5" s="0" t="n">
        <f aca="false">D5-B5</f>
        <v>0.125</v>
      </c>
    </row>
    <row r="6" customFormat="false" ht="15" hidden="false" customHeight="false" outlineLevel="0" collapsed="false">
      <c r="A6" s="0" t="s">
        <v>150</v>
      </c>
      <c r="B6" s="0" t="n">
        <f aca="false">AVERAGE(Rohdaten!N2:N17)</f>
        <v>3.125</v>
      </c>
      <c r="C6" s="0" t="n">
        <f aca="false">STDEV(Rohdaten!N2:N17)</f>
        <v>1.08781125813871</v>
      </c>
      <c r="D6" s="0" t="n">
        <f aca="false">AVERAGE(Rohdaten!AK2:AK17)</f>
        <v>3.3125</v>
      </c>
      <c r="E6" s="0" t="n">
        <f aca="false">STDEV(Rohdaten!AK2:AK17)</f>
        <v>1.49303940559741</v>
      </c>
      <c r="F6" s="0" t="n">
        <f aca="false">D6-B6</f>
        <v>0.1875</v>
      </c>
    </row>
    <row r="8" customFormat="false" ht="15" hidden="false" customHeight="false" outlineLevel="0" collapsed="false">
      <c r="A8" s="3" t="s">
        <v>151</v>
      </c>
    </row>
    <row r="9" customFormat="false" ht="15" hidden="false" customHeight="false" outlineLevel="0" collapsed="false">
      <c r="A9" s="0" t="s">
        <v>152</v>
      </c>
      <c r="B9" s="0" t="n">
        <f aca="false">AVERAGE(Rohdaten!O2:O17)</f>
        <v>2.6875</v>
      </c>
      <c r="C9" s="0" t="n">
        <f aca="false">STDEV(Rohdaten!O2:O17)</f>
        <v>1.19547758936195</v>
      </c>
      <c r="D9" s="0" t="n">
        <f aca="false">AVERAGE(Rohdaten!AL2:AL17)</f>
        <v>2.9375</v>
      </c>
      <c r="E9" s="0" t="n">
        <f aca="false">STDEV(Rohdaten!AL2:AL17)</f>
        <v>1.18145390656315</v>
      </c>
      <c r="F9" s="0" t="n">
        <f aca="false">D9-B9</f>
        <v>0.25</v>
      </c>
    </row>
    <row r="10" customFormat="false" ht="15" hidden="false" customHeight="false" outlineLevel="0" collapsed="false">
      <c r="A10" s="0" t="s">
        <v>153</v>
      </c>
      <c r="B10" s="0" t="n">
        <f aca="false">AVERAGE(Rohdaten!P2:P17)</f>
        <v>4</v>
      </c>
      <c r="C10" s="0" t="n">
        <f aca="false">STDEV(Rohdaten!P2:P17)</f>
        <v>0.894427190999916</v>
      </c>
      <c r="D10" s="0" t="n">
        <f aca="false">AVERAGE(Rohdaten!AM2:AM17)</f>
        <v>4.4375</v>
      </c>
      <c r="E10" s="0" t="n">
        <f aca="false">STDEV(Rohdaten!AM2:AM17)</f>
        <v>0.813941029804985</v>
      </c>
      <c r="F10" s="0" t="n">
        <f aca="false">D10-B10</f>
        <v>0.4375</v>
      </c>
    </row>
    <row r="11" customFormat="false" ht="15" hidden="false" customHeight="false" outlineLevel="0" collapsed="false">
      <c r="A11" s="0" t="s">
        <v>154</v>
      </c>
      <c r="B11" s="0" t="n">
        <f aca="false">AVERAGE(Rohdaten!Q2:Q17)</f>
        <v>3.1875</v>
      </c>
      <c r="C11" s="0" t="n">
        <f aca="false">STDEV(Rohdaten!Q2:Q17)</f>
        <v>0.834166250416147</v>
      </c>
      <c r="D11" s="0" t="n">
        <f aca="false">AVERAGE(Rohdaten!AN2:AN17)</f>
        <v>3.5</v>
      </c>
      <c r="E11" s="0" t="n">
        <f aca="false">STDEV(Rohdaten!AN2:AN17)</f>
        <v>0.894427190999916</v>
      </c>
      <c r="F11" s="0" t="n">
        <f aca="false">D11-B11</f>
        <v>0.3125</v>
      </c>
    </row>
    <row r="12" customFormat="false" ht="15" hidden="false" customHeight="false" outlineLevel="0" collapsed="false">
      <c r="A12" s="0" t="s">
        <v>155</v>
      </c>
      <c r="B12" s="0" t="n">
        <f aca="false">AVERAGE(Rohdaten!R2:R17)</f>
        <v>2.875</v>
      </c>
      <c r="C12" s="0" t="n">
        <f aca="false">STDEV(Rohdaten!R2:R17)</f>
        <v>0.885061203156784</v>
      </c>
      <c r="D12" s="0" t="n">
        <f aca="false">AVERAGE(Rohdaten!AO2:AO17)</f>
        <v>2.625</v>
      </c>
      <c r="E12" s="0" t="n">
        <f aca="false">STDEV(Rohdaten!AO2:AO17)</f>
        <v>1.02469507659596</v>
      </c>
      <c r="F12" s="0" t="n">
        <f aca="false">D12-B12</f>
        <v>-0.25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</cols>
  <sheetData>
    <row r="1" customFormat="false" ht="15" hidden="false" customHeight="false" outlineLevel="0" collapsed="false">
      <c r="A1" s="4" t="s">
        <v>156</v>
      </c>
    </row>
    <row r="2" customFormat="false" ht="15" hidden="false" customHeight="false" outlineLevel="0" collapsed="false">
      <c r="A2" s="0" t="s">
        <v>157</v>
      </c>
    </row>
    <row r="3" customFormat="false" ht="15" hidden="false" customHeight="false" outlineLevel="0" collapsed="false">
      <c r="A3" s="0" t="s">
        <v>158</v>
      </c>
    </row>
    <row r="4" customFormat="false" ht="15" hidden="false" customHeight="false" outlineLevel="0" collapsed="false">
      <c r="A4" s="0" t="s">
        <v>159</v>
      </c>
    </row>
    <row r="5" customFormat="false" ht="15" hidden="false" customHeight="false" outlineLevel="0" collapsed="false">
      <c r="A5" s="0" t="s">
        <v>160</v>
      </c>
    </row>
    <row r="6" customFormat="false" ht="15" hidden="false" customHeight="false" outlineLevel="0" collapsed="false">
      <c r="A6" s="0" t="s">
        <v>161</v>
      </c>
    </row>
    <row r="8" customFormat="false" ht="15" hidden="false" customHeight="false" outlineLevel="0" collapsed="false">
      <c r="A8" s="4" t="s">
        <v>162</v>
      </c>
    </row>
    <row r="9" customFormat="false" ht="15" hidden="false" customHeight="false" outlineLevel="0" collapsed="false">
      <c r="A9" s="0" t="s">
        <v>163</v>
      </c>
    </row>
    <row r="10" customFormat="false" ht="15" hidden="false" customHeight="false" outlineLevel="0" collapsed="false">
      <c r="A10" s="0" t="s">
        <v>164</v>
      </c>
    </row>
    <row r="11" customFormat="false" ht="15" hidden="false" customHeight="false" outlineLevel="0" collapsed="false">
      <c r="A11" s="0" t="s">
        <v>165</v>
      </c>
    </row>
    <row r="12" customFormat="false" ht="15" hidden="false" customHeight="false" outlineLevel="0" collapsed="false">
      <c r="A12" s="0" t="s">
        <v>166</v>
      </c>
    </row>
    <row r="14" customFormat="false" ht="15" hidden="false" customHeight="false" outlineLevel="0" collapsed="false">
      <c r="A14" s="4" t="s">
        <v>167</v>
      </c>
    </row>
    <row r="15" customFormat="false" ht="15" hidden="false" customHeight="false" outlineLevel="0" collapsed="false">
      <c r="A15" s="0" t="s">
        <v>168</v>
      </c>
    </row>
    <row r="16" customFormat="false" ht="15" hidden="false" customHeight="false" outlineLevel="0" collapsed="false">
      <c r="A16" s="0" t="s">
        <v>169</v>
      </c>
    </row>
    <row r="17" customFormat="false" ht="15" hidden="false" customHeight="false" outlineLevel="0" collapsed="false">
      <c r="A17" s="0" t="s">
        <v>170</v>
      </c>
    </row>
    <row r="18" customFormat="false" ht="15" hidden="false" customHeight="false" outlineLevel="0" collapsed="false">
      <c r="A18" s="0" t="s">
        <v>171</v>
      </c>
    </row>
    <row r="20" customFormat="false" ht="15" hidden="false" customHeight="false" outlineLevel="0" collapsed="false">
      <c r="A20" s="4" t="s">
        <v>172</v>
      </c>
    </row>
    <row r="21" customFormat="false" ht="15" hidden="false" customHeight="false" outlineLevel="0" collapsed="false">
      <c r="A21" s="0" t="s">
        <v>173</v>
      </c>
    </row>
    <row r="22" customFormat="false" ht="15" hidden="false" customHeight="false" outlineLevel="0" collapsed="false">
      <c r="A22" s="0" t="s">
        <v>174</v>
      </c>
    </row>
    <row r="23" customFormat="false" ht="15" hidden="false" customHeight="false" outlineLevel="0" collapsed="false">
      <c r="A23" s="0" t="s">
        <v>175</v>
      </c>
    </row>
    <row r="24" customFormat="false" ht="15" hidden="false" customHeight="false" outlineLevel="0" collapsed="false">
      <c r="A24" s="0" t="s">
        <v>176</v>
      </c>
    </row>
    <row r="25" customFormat="false" ht="15" hidden="false" customHeight="false" outlineLevel="0" collapsed="false">
      <c r="A25" s="0" t="s">
        <v>177</v>
      </c>
    </row>
    <row r="27" customFormat="false" ht="15" hidden="false" customHeight="false" outlineLevel="0" collapsed="false">
      <c r="A27" s="4" t="s">
        <v>178</v>
      </c>
    </row>
    <row r="28" customFormat="false" ht="15" hidden="false" customHeight="false" outlineLevel="0" collapsed="false">
      <c r="A28" s="0" t="s">
        <v>179</v>
      </c>
    </row>
    <row r="29" customFormat="false" ht="15" hidden="false" customHeight="false" outlineLevel="0" collapsed="false">
      <c r="A29" s="0" t="s">
        <v>180</v>
      </c>
    </row>
    <row r="30" customFormat="false" ht="15" hidden="false" customHeight="false" outlineLevel="0" collapsed="false">
      <c r="A30" s="0" t="s">
        <v>181</v>
      </c>
    </row>
    <row r="32" customFormat="false" ht="15" hidden="false" customHeight="false" outlineLevel="0" collapsed="false">
      <c r="A32" s="4" t="s">
        <v>182</v>
      </c>
    </row>
    <row r="33" customFormat="false" ht="15" hidden="false" customHeight="false" outlineLevel="0" collapsed="false">
      <c r="A33" s="0" t="s">
        <v>183</v>
      </c>
    </row>
    <row r="34" customFormat="false" ht="15" hidden="false" customHeight="false" outlineLevel="0" collapsed="false">
      <c r="A34" s="0" t="s">
        <v>184</v>
      </c>
    </row>
    <row r="35" customFormat="false" ht="15" hidden="false" customHeight="false" outlineLevel="0" collapsed="false">
      <c r="A35" s="0" t="s">
        <v>185</v>
      </c>
    </row>
    <row r="36" customFormat="false" ht="15" hidden="false" customHeight="false" outlineLevel="0" collapsed="false">
      <c r="A36" s="0" t="s">
        <v>186</v>
      </c>
    </row>
    <row r="37" customFormat="false" ht="15" hidden="false" customHeight="false" outlineLevel="0" collapsed="false">
      <c r="A37" s="0" t="s">
        <v>187</v>
      </c>
    </row>
    <row r="39" customFormat="false" ht="15" hidden="false" customHeight="false" outlineLevel="0" collapsed="false">
      <c r="A39" s="4" t="s">
        <v>188</v>
      </c>
    </row>
    <row r="40" customFormat="false" ht="15" hidden="false" customHeight="false" outlineLevel="0" collapsed="false">
      <c r="A40" s="0" t="s">
        <v>189</v>
      </c>
    </row>
    <row r="41" customFormat="false" ht="15" hidden="false" customHeight="false" outlineLevel="0" collapsed="false">
      <c r="A41" s="0" t="s">
        <v>190</v>
      </c>
    </row>
    <row r="42" customFormat="false" ht="15" hidden="false" customHeight="false" outlineLevel="0" collapsed="false">
      <c r="A42" s="0" t="s">
        <v>191</v>
      </c>
    </row>
    <row r="43" customFormat="false" ht="15" hidden="false" customHeight="false" outlineLevel="0" collapsed="false">
      <c r="A43" s="0" t="s">
        <v>192</v>
      </c>
    </row>
    <row r="44" customFormat="false" ht="15" hidden="false" customHeight="false" outlineLevel="0" collapsed="false">
      <c r="A44" s="0" t="s">
        <v>193</v>
      </c>
    </row>
    <row r="46" customFormat="false" ht="15" hidden="false" customHeight="false" outlineLevel="0" collapsed="false">
      <c r="A46" s="4" t="s">
        <v>194</v>
      </c>
    </row>
    <row r="47" customFormat="false" ht="15" hidden="false" customHeight="false" outlineLevel="0" collapsed="false">
      <c r="A47" s="0" t="s">
        <v>195</v>
      </c>
    </row>
    <row r="48" customFormat="false" ht="15" hidden="false" customHeight="false" outlineLevel="0" collapsed="false">
      <c r="A48" s="0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2026-01-23T14:18:29Z</dcterms:created>
  <dc:creator>openpyxl</dc:creator>
  <dc:description/>
  <dc:language>en-US</dc:language>
  <cp:lastModifiedBy/>
  <dcterms:modified xsi:type="dcterms:W3CDTF">2026-01-23T14:18:29Z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